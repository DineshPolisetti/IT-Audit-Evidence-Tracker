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Resume\Data Anlytics\"/>
    </mc:Choice>
  </mc:AlternateContent>
  <xr:revisionPtr revIDLastSave="0" documentId="13_ncr:1_{779DE357-7512-42D0-89F9-6252AA6C5CA3}" xr6:coauthVersionLast="47" xr6:coauthVersionMax="47" xr10:uidLastSave="{00000000-0000-0000-0000-000000000000}"/>
  <bookViews>
    <workbookView xWindow="-108" yWindow="-108" windowWidth="23256" windowHeight="12456" xr2:uid="{9D8ED7AA-6EAF-450F-AC2E-8615D5820CF0}"/>
  </bookViews>
  <sheets>
    <sheet name="Evidence_Tracker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3" i="2"/>
  <c r="H2" i="2"/>
  <c r="E5" i="2"/>
  <c r="E4" i="2"/>
  <c r="E3" i="2"/>
  <c r="E2" i="2"/>
  <c r="B4" i="2"/>
  <c r="B3" i="2"/>
  <c r="B2" i="2"/>
  <c r="B1" i="2"/>
</calcChain>
</file>

<file path=xl/sharedStrings.xml><?xml version="1.0" encoding="utf-8"?>
<sst xmlns="http://schemas.openxmlformats.org/spreadsheetml/2006/main" count="87" uniqueCount="64">
  <si>
    <t>Control ID</t>
  </si>
  <si>
    <t>Control Area</t>
  </si>
  <si>
    <t>Control Description</t>
  </si>
  <si>
    <t>Risk</t>
  </si>
  <si>
    <t>Evidence Required</t>
  </si>
  <si>
    <t>Evidence Received</t>
  </si>
  <si>
    <t>Status</t>
  </si>
  <si>
    <t>Finding</t>
  </si>
  <si>
    <t>Severity</t>
  </si>
  <si>
    <t>Owner</t>
  </si>
  <si>
    <t>Target Date</t>
  </si>
  <si>
    <t>Closure Date</t>
  </si>
  <si>
    <t>Remarks</t>
  </si>
  <si>
    <t>ITGC-001</t>
  </si>
  <si>
    <t>Access Control</t>
  </si>
  <si>
    <t>User access review performed monthly</t>
  </si>
  <si>
    <t>Unauthorized access</t>
  </si>
  <si>
    <t>Access review report screenshot</t>
  </si>
  <si>
    <t>Y</t>
  </si>
  <si>
    <t>Completed</t>
  </si>
  <si>
    <t>No</t>
  </si>
  <si>
    <t>Low</t>
  </si>
  <si>
    <t>IT Team</t>
  </si>
  <si>
    <t>Completed successfully</t>
  </si>
  <si>
    <t>ITGC-002</t>
  </si>
  <si>
    <t>MFA enabled for admin accounts</t>
  </si>
  <si>
    <t>Account compromise</t>
  </si>
  <si>
    <t>MFA proof screenshot</t>
  </si>
  <si>
    <t>N</t>
  </si>
  <si>
    <t>Pending</t>
  </si>
  <si>
    <t>-</t>
  </si>
  <si>
    <t>High</t>
  </si>
  <si>
    <t>Security Team</t>
  </si>
  <si>
    <t>Evidence not received</t>
  </si>
  <si>
    <t>ITGC-003</t>
  </si>
  <si>
    <t>Backup</t>
  </si>
  <si>
    <t>Daily backup performed and monitored</t>
  </si>
  <si>
    <t>Data loss</t>
  </si>
  <si>
    <t>Backup logs report</t>
  </si>
  <si>
    <t>In Progress</t>
  </si>
  <si>
    <t>Medium</t>
  </si>
  <si>
    <t>Infra Team</t>
  </si>
  <si>
    <t>Backup log review ongoing</t>
  </si>
  <si>
    <t>ITGC-004</t>
  </si>
  <si>
    <t>Change Management</t>
  </si>
  <si>
    <t>Change approvals required before deployment</t>
  </si>
  <si>
    <t>Unauthorized changes</t>
  </si>
  <si>
    <t>Change request approval document</t>
  </si>
  <si>
    <t>Yes</t>
  </si>
  <si>
    <t>DevOps Team</t>
  </si>
  <si>
    <t>2 changes missing approval</t>
  </si>
  <si>
    <t>ITGC-005</t>
  </si>
  <si>
    <t>Monitoring</t>
  </si>
  <si>
    <t>System logs reviewed weekly</t>
  </si>
  <si>
    <t>Threat undetected</t>
  </si>
  <si>
    <t>Log monitoring report</t>
  </si>
  <si>
    <t>Not Started</t>
  </si>
  <si>
    <t>SOC Team</t>
  </si>
  <si>
    <t>Not initiated</t>
  </si>
  <si>
    <t>Total Controls</t>
  </si>
  <si>
    <t>Pending Evidence</t>
  </si>
  <si>
    <t>Findings</t>
  </si>
  <si>
    <t>Count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</si>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</sst>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3C9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CC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3C9F3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Audit Status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(Dashboard!$D$2,Dashboard!$D$3,Dashboard!$D$4,Dashboard!$D$5)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In Progress</c:v>
                </c:pt>
                <c:pt idx="3">
                  <c:v>Not Started</c:v>
                </c:pt>
              </c:strCache>
            </c:strRef>
          </c:cat>
          <c:val>
            <c:numRef>
              <c:f>(Dashboard!$E$2,Dashboard!$E$3,Dashboard!$E$4,Dashboard!$E$5)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9-4E5D-9E97-C9A5E5299A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Severity Distribution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(Dashboard!$G$2,Dashboard!$G$3,Dashboard!$G$4,Dashboard!$G$5)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(Dashboard!$H$2,Dashboard!$H$3,Dashboard!$H$4,Dashboard!$H$5)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4-4259-A58C-9F93A1A683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501503"/>
        <c:axId val="132519743"/>
      </c:barChart>
      <c:catAx>
        <c:axId val="13250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19743"/>
        <c:crosses val="autoZero"/>
        <c:auto val="1"/>
        <c:lblAlgn val="ctr"/>
        <c:lblOffset val="100"/>
        <c:noMultiLvlLbl val="0"/>
      </c:catAx>
      <c:valAx>
        <c:axId val="13251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3810</xdr:rowOff>
    </xdr:from>
    <xdr:to>
      <xdr:col>5</xdr:col>
      <xdr:colOff>205740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C6095-AD41-0A97-6BB4-93357A2B7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342900</xdr:colOff>
      <xdr:row>6</xdr:row>
      <xdr:rowOff>3810</xdr:rowOff>
    </xdr:from>
    <xdr:to>
      <xdr:col>13</xdr:col>
      <xdr:colOff>38100</xdr:colOff>
      <xdr:row>21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9E8F7B-926C-3127-E518-CB7DF4093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927D-5CE1-47AC-A0DC-66571B70FBE3}">
  <dimension ref="A1:M100"/>
  <sheetViews>
    <sheetView tabSelected="1" topLeftCell="D1" zoomScale="93" zoomScaleNormal="85" workbookViewId="0">
      <selection activeCell="G2" sqref="G2"/>
    </sheetView>
  </sheetViews>
  <sheetFormatPr defaultRowHeight="14.4"/>
  <cols>
    <col min="1" max="1" width="9.88671875" style="1" bestFit="1" customWidth="1"/>
    <col min="2" max="2" width="20.109375" style="1" bestFit="1" customWidth="1"/>
    <col min="3" max="3" width="43.77734375" style="1" bestFit="1" customWidth="1"/>
    <col min="4" max="4" width="21" style="1" bestFit="1" customWidth="1"/>
    <col min="5" max="5" width="33.5546875" style="1" bestFit="1" customWidth="1"/>
    <col min="6" max="6" width="17.44140625" style="1" bestFit="1" customWidth="1"/>
    <col min="7" max="7" width="11.44140625" style="1" bestFit="1" customWidth="1"/>
    <col min="8" max="8" width="7.44140625" style="1" bestFit="1" customWidth="1"/>
    <col min="9" max="9" width="8.33203125" style="1" bestFit="1" customWidth="1"/>
    <col min="10" max="10" width="13.6640625" style="1" bestFit="1" customWidth="1"/>
    <col min="11" max="11" width="11.33203125" style="1" bestFit="1" customWidth="1"/>
    <col min="12" max="12" width="12.109375" style="1" bestFit="1" customWidth="1"/>
    <col min="13" max="13" width="25.5546875" style="1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4">
        <v>46068</v>
      </c>
      <c r="L2" s="4">
        <v>46065</v>
      </c>
      <c r="M2" s="3" t="s">
        <v>23</v>
      </c>
    </row>
    <row r="3" spans="1:13">
      <c r="A3" s="3" t="s">
        <v>24</v>
      </c>
      <c r="B3" s="3" t="s">
        <v>14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4">
        <v>46073</v>
      </c>
      <c r="L3" s="3" t="s">
        <v>30</v>
      </c>
      <c r="M3" s="3" t="s">
        <v>33</v>
      </c>
    </row>
    <row r="4" spans="1:13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18</v>
      </c>
      <c r="G4" s="3" t="s">
        <v>39</v>
      </c>
      <c r="H4" s="3" t="s">
        <v>20</v>
      </c>
      <c r="I4" s="3" t="s">
        <v>40</v>
      </c>
      <c r="J4" s="3" t="s">
        <v>41</v>
      </c>
      <c r="K4" s="4">
        <v>46071</v>
      </c>
      <c r="L4" s="3" t="s">
        <v>30</v>
      </c>
      <c r="M4" s="3" t="s">
        <v>42</v>
      </c>
    </row>
    <row r="5" spans="1:13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18</v>
      </c>
      <c r="G5" s="3" t="s">
        <v>19</v>
      </c>
      <c r="H5" s="3" t="s">
        <v>48</v>
      </c>
      <c r="I5" s="3" t="s">
        <v>31</v>
      </c>
      <c r="J5" s="3" t="s">
        <v>49</v>
      </c>
      <c r="K5" s="4">
        <v>46063</v>
      </c>
      <c r="L5" s="4">
        <v>46062</v>
      </c>
      <c r="M5" s="3" t="s">
        <v>50</v>
      </c>
    </row>
    <row r="6" spans="1:13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28</v>
      </c>
      <c r="G6" s="3" t="s">
        <v>56</v>
      </c>
      <c r="H6" s="3" t="s">
        <v>30</v>
      </c>
      <c r="I6" s="3" t="s">
        <v>40</v>
      </c>
      <c r="J6" s="3" t="s">
        <v>57</v>
      </c>
      <c r="K6" s="4">
        <v>46078</v>
      </c>
      <c r="L6" s="3" t="s">
        <v>30</v>
      </c>
      <c r="M6" s="3" t="s">
        <v>58</v>
      </c>
    </row>
    <row r="7" spans="1:1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F21" s="3"/>
      <c r="G21" s="3"/>
      <c r="H21" s="3"/>
      <c r="I21" s="3"/>
    </row>
    <row r="22" spans="1:13">
      <c r="F22" s="3"/>
      <c r="G22" s="3"/>
      <c r="H22" s="3"/>
      <c r="I22" s="3"/>
    </row>
    <row r="23" spans="1:13">
      <c r="F23" s="3"/>
      <c r="G23" s="3"/>
      <c r="H23" s="3"/>
      <c r="I23" s="3"/>
    </row>
    <row r="24" spans="1:13">
      <c r="F24" s="3"/>
      <c r="G24" s="3"/>
      <c r="H24" s="3"/>
      <c r="I24" s="3"/>
    </row>
    <row r="25" spans="1:13">
      <c r="F25" s="3"/>
      <c r="G25" s="3"/>
      <c r="H25" s="3"/>
      <c r="I25" s="3"/>
    </row>
    <row r="26" spans="1:13">
      <c r="F26" s="3"/>
      <c r="G26" s="3"/>
      <c r="H26" s="3"/>
      <c r="I26" s="3"/>
    </row>
    <row r="27" spans="1:13">
      <c r="F27" s="3"/>
      <c r="G27" s="3"/>
      <c r="H27" s="3"/>
      <c r="I27" s="3"/>
    </row>
    <row r="28" spans="1:13">
      <c r="F28" s="3"/>
      <c r="G28" s="3"/>
      <c r="H28" s="3"/>
      <c r="I28" s="3"/>
    </row>
    <row r="29" spans="1:13">
      <c r="F29" s="3"/>
      <c r="G29" s="3"/>
      <c r="H29" s="3"/>
      <c r="I29" s="3"/>
    </row>
    <row r="30" spans="1:13">
      <c r="F30" s="3"/>
      <c r="G30" s="3"/>
      <c r="H30" s="3"/>
      <c r="I30" s="3"/>
    </row>
    <row r="31" spans="1:13">
      <c r="F31" s="3"/>
      <c r="G31" s="3"/>
      <c r="H31" s="3"/>
      <c r="I31" s="3"/>
    </row>
    <row r="32" spans="1:13">
      <c r="F32" s="3"/>
      <c r="G32" s="3"/>
      <c r="H32" s="3"/>
      <c r="I32" s="3"/>
    </row>
    <row r="33" spans="6:9">
      <c r="F33" s="3"/>
      <c r="G33" s="3"/>
      <c r="H33" s="3"/>
      <c r="I33" s="3"/>
    </row>
    <row r="34" spans="6:9">
      <c r="F34" s="3"/>
      <c r="G34" s="3"/>
      <c r="H34" s="3"/>
      <c r="I34" s="3"/>
    </row>
    <row r="35" spans="6:9">
      <c r="F35" s="3"/>
      <c r="G35" s="3"/>
      <c r="H35" s="3"/>
      <c r="I35" s="3"/>
    </row>
    <row r="36" spans="6:9">
      <c r="F36" s="3"/>
      <c r="G36" s="3"/>
      <c r="H36" s="3"/>
      <c r="I36" s="3"/>
    </row>
    <row r="37" spans="6:9">
      <c r="F37" s="3"/>
      <c r="G37" s="3"/>
      <c r="H37" s="3"/>
      <c r="I37" s="3"/>
    </row>
    <row r="38" spans="6:9">
      <c r="F38" s="3"/>
      <c r="G38" s="3"/>
      <c r="H38" s="3"/>
      <c r="I38" s="3"/>
    </row>
    <row r="39" spans="6:9">
      <c r="F39" s="3"/>
      <c r="G39" s="3"/>
      <c r="H39" s="3"/>
      <c r="I39" s="3"/>
    </row>
    <row r="40" spans="6:9">
      <c r="F40" s="3"/>
      <c r="G40" s="3"/>
      <c r="H40" s="3"/>
      <c r="I40" s="3"/>
    </row>
    <row r="41" spans="6:9">
      <c r="F41" s="3"/>
      <c r="G41" s="3"/>
      <c r="H41" s="3"/>
      <c r="I41" s="3"/>
    </row>
    <row r="42" spans="6:9">
      <c r="F42" s="3"/>
      <c r="G42" s="3"/>
      <c r="H42" s="3"/>
      <c r="I42" s="3"/>
    </row>
    <row r="43" spans="6:9">
      <c r="F43" s="3"/>
      <c r="G43" s="3"/>
      <c r="H43" s="3"/>
      <c r="I43" s="3"/>
    </row>
    <row r="44" spans="6:9">
      <c r="F44" s="3"/>
      <c r="G44" s="3"/>
      <c r="H44" s="3"/>
      <c r="I44" s="3"/>
    </row>
    <row r="45" spans="6:9">
      <c r="F45" s="3"/>
      <c r="G45" s="3"/>
      <c r="H45" s="3"/>
      <c r="I45" s="3"/>
    </row>
    <row r="46" spans="6:9">
      <c r="F46" s="3"/>
      <c r="G46" s="3"/>
      <c r="H46" s="3"/>
      <c r="I46" s="3"/>
    </row>
    <row r="47" spans="6:9">
      <c r="F47" s="3"/>
      <c r="G47" s="3"/>
      <c r="H47" s="3"/>
      <c r="I47" s="3"/>
    </row>
    <row r="48" spans="6:9">
      <c r="F48" s="3"/>
      <c r="G48" s="3"/>
      <c r="H48" s="3"/>
      <c r="I48" s="3"/>
    </row>
    <row r="49" spans="6:9">
      <c r="F49" s="3"/>
      <c r="G49" s="3"/>
      <c r="H49" s="3"/>
      <c r="I49" s="3"/>
    </row>
    <row r="50" spans="6:9">
      <c r="F50" s="3"/>
      <c r="G50" s="3"/>
      <c r="H50" s="3"/>
      <c r="I50" s="3"/>
    </row>
    <row r="51" spans="6:9">
      <c r="F51" s="3"/>
      <c r="G51" s="3"/>
      <c r="H51" s="3"/>
      <c r="I51" s="3"/>
    </row>
    <row r="52" spans="6:9">
      <c r="F52" s="3"/>
      <c r="G52" s="3"/>
      <c r="H52" s="3"/>
      <c r="I52" s="3"/>
    </row>
    <row r="53" spans="6:9">
      <c r="F53" s="3"/>
      <c r="G53" s="3"/>
      <c r="H53" s="3"/>
      <c r="I53" s="3"/>
    </row>
    <row r="54" spans="6:9">
      <c r="F54" s="3"/>
      <c r="G54" s="3"/>
      <c r="H54" s="3"/>
      <c r="I54" s="3"/>
    </row>
    <row r="55" spans="6:9">
      <c r="F55" s="3"/>
      <c r="G55" s="3"/>
      <c r="H55" s="3"/>
      <c r="I55" s="3"/>
    </row>
    <row r="56" spans="6:9">
      <c r="F56" s="3"/>
      <c r="G56" s="3"/>
      <c r="H56" s="3"/>
      <c r="I56" s="3"/>
    </row>
    <row r="57" spans="6:9">
      <c r="F57" s="3"/>
      <c r="G57" s="3"/>
      <c r="H57" s="3"/>
      <c r="I57" s="3"/>
    </row>
    <row r="58" spans="6:9">
      <c r="F58" s="3"/>
      <c r="G58" s="3"/>
      <c r="H58" s="3"/>
      <c r="I58" s="3"/>
    </row>
    <row r="59" spans="6:9">
      <c r="F59" s="3"/>
      <c r="G59" s="3"/>
      <c r="H59" s="3"/>
      <c r="I59" s="3"/>
    </row>
    <row r="60" spans="6:9">
      <c r="F60" s="3"/>
      <c r="G60" s="3"/>
      <c r="H60" s="3"/>
      <c r="I60" s="3"/>
    </row>
    <row r="61" spans="6:9">
      <c r="F61" s="3"/>
      <c r="G61" s="3"/>
      <c r="H61" s="3"/>
      <c r="I61" s="3"/>
    </row>
    <row r="62" spans="6:9">
      <c r="F62" s="3"/>
      <c r="G62" s="3"/>
      <c r="H62" s="3"/>
      <c r="I62" s="3"/>
    </row>
    <row r="63" spans="6:9">
      <c r="F63" s="3"/>
      <c r="G63" s="3"/>
      <c r="H63" s="3"/>
      <c r="I63" s="3"/>
    </row>
    <row r="64" spans="6:9">
      <c r="F64" s="3"/>
      <c r="G64" s="3"/>
      <c r="H64" s="3"/>
      <c r="I64" s="3"/>
    </row>
    <row r="65" spans="6:9">
      <c r="F65" s="3"/>
      <c r="G65" s="3"/>
      <c r="H65" s="3"/>
      <c r="I65" s="3"/>
    </row>
    <row r="66" spans="6:9">
      <c r="F66" s="3"/>
      <c r="G66" s="3"/>
      <c r="H66" s="3"/>
      <c r="I66" s="3"/>
    </row>
    <row r="67" spans="6:9">
      <c r="F67" s="3"/>
      <c r="G67" s="3"/>
      <c r="H67" s="3"/>
      <c r="I67" s="3"/>
    </row>
    <row r="68" spans="6:9">
      <c r="F68" s="3"/>
      <c r="G68" s="3"/>
      <c r="H68" s="3"/>
      <c r="I68" s="3"/>
    </row>
    <row r="69" spans="6:9">
      <c r="F69" s="3"/>
      <c r="G69" s="3"/>
      <c r="H69" s="3"/>
      <c r="I69" s="3"/>
    </row>
    <row r="70" spans="6:9">
      <c r="F70" s="3"/>
      <c r="G70" s="3"/>
      <c r="H70" s="3"/>
      <c r="I70" s="3"/>
    </row>
    <row r="71" spans="6:9">
      <c r="F71" s="3"/>
      <c r="G71" s="3"/>
      <c r="H71" s="3"/>
      <c r="I71" s="3"/>
    </row>
    <row r="72" spans="6:9">
      <c r="F72" s="3"/>
      <c r="G72" s="3"/>
      <c r="H72" s="3"/>
      <c r="I72" s="3"/>
    </row>
    <row r="73" spans="6:9">
      <c r="F73" s="3"/>
      <c r="G73" s="3"/>
      <c r="H73" s="3"/>
      <c r="I73" s="3"/>
    </row>
    <row r="74" spans="6:9">
      <c r="F74" s="3"/>
      <c r="G74" s="3"/>
      <c r="H74" s="3"/>
      <c r="I74" s="3"/>
    </row>
    <row r="75" spans="6:9">
      <c r="F75" s="3"/>
      <c r="G75" s="3"/>
      <c r="H75" s="3"/>
      <c r="I75" s="3"/>
    </row>
    <row r="76" spans="6:9">
      <c r="F76" s="3"/>
      <c r="G76" s="3"/>
      <c r="H76" s="3"/>
      <c r="I76" s="3"/>
    </row>
    <row r="77" spans="6:9">
      <c r="F77" s="3"/>
      <c r="G77" s="3"/>
      <c r="H77" s="3"/>
      <c r="I77" s="3"/>
    </row>
    <row r="78" spans="6:9">
      <c r="F78" s="3"/>
      <c r="G78" s="3"/>
      <c r="H78" s="3"/>
      <c r="I78" s="3"/>
    </row>
    <row r="79" spans="6:9">
      <c r="F79" s="3"/>
      <c r="G79" s="3"/>
      <c r="H79" s="3"/>
      <c r="I79" s="3"/>
    </row>
    <row r="80" spans="6:9">
      <c r="F80" s="3"/>
      <c r="G80" s="3"/>
      <c r="H80" s="3"/>
      <c r="I80" s="3"/>
    </row>
    <row r="81" spans="6:9">
      <c r="F81" s="3"/>
      <c r="G81" s="3"/>
      <c r="H81" s="3"/>
      <c r="I81" s="3"/>
    </row>
    <row r="82" spans="6:9">
      <c r="F82" s="3"/>
      <c r="G82" s="3"/>
      <c r="H82" s="3"/>
      <c r="I82" s="3"/>
    </row>
    <row r="83" spans="6:9">
      <c r="F83" s="3"/>
      <c r="G83" s="3"/>
      <c r="H83" s="3"/>
      <c r="I83" s="3"/>
    </row>
    <row r="84" spans="6:9">
      <c r="F84" s="3"/>
      <c r="G84" s="3"/>
      <c r="H84" s="3"/>
      <c r="I84" s="3"/>
    </row>
    <row r="85" spans="6:9">
      <c r="F85" s="3"/>
      <c r="G85" s="3"/>
      <c r="H85" s="3"/>
      <c r="I85" s="3"/>
    </row>
    <row r="86" spans="6:9">
      <c r="F86" s="3"/>
      <c r="G86" s="3"/>
      <c r="H86" s="3"/>
      <c r="I86" s="3"/>
    </row>
    <row r="87" spans="6:9">
      <c r="F87" s="3"/>
      <c r="G87" s="3"/>
      <c r="H87" s="3"/>
      <c r="I87" s="3"/>
    </row>
    <row r="88" spans="6:9">
      <c r="F88" s="3"/>
      <c r="G88" s="3"/>
      <c r="H88" s="3"/>
      <c r="I88" s="3"/>
    </row>
    <row r="89" spans="6:9">
      <c r="F89" s="3"/>
      <c r="G89" s="3"/>
      <c r="H89" s="3"/>
      <c r="I89" s="3"/>
    </row>
    <row r="90" spans="6:9">
      <c r="F90" s="3"/>
      <c r="G90" s="3"/>
      <c r="H90" s="3"/>
      <c r="I90" s="3"/>
    </row>
    <row r="91" spans="6:9">
      <c r="F91" s="3"/>
      <c r="G91" s="3"/>
      <c r="H91" s="3"/>
      <c r="I91" s="3"/>
    </row>
    <row r="92" spans="6:9">
      <c r="F92" s="3"/>
      <c r="G92" s="3"/>
      <c r="H92" s="3"/>
      <c r="I92" s="3"/>
    </row>
    <row r="93" spans="6:9">
      <c r="F93" s="3"/>
      <c r="G93" s="3"/>
      <c r="H93" s="3"/>
      <c r="I93" s="3"/>
    </row>
    <row r="94" spans="6:9">
      <c r="F94" s="3"/>
      <c r="G94" s="3"/>
      <c r="H94" s="3"/>
      <c r="I94" s="3"/>
    </row>
    <row r="95" spans="6:9">
      <c r="F95" s="3"/>
      <c r="G95" s="3"/>
      <c r="H95" s="3"/>
      <c r="I95" s="3"/>
    </row>
    <row r="96" spans="6:9">
      <c r="F96" s="3"/>
      <c r="G96" s="3"/>
      <c r="H96" s="3"/>
      <c r="I96" s="3"/>
    </row>
    <row r="97" spans="6:9">
      <c r="F97" s="3"/>
      <c r="G97" s="3"/>
      <c r="H97" s="3"/>
      <c r="I97" s="3"/>
    </row>
    <row r="98" spans="6:9">
      <c r="F98" s="3"/>
      <c r="G98" s="3"/>
      <c r="H98" s="3"/>
      <c r="I98" s="3"/>
    </row>
    <row r="99" spans="6:9">
      <c r="F99" s="3"/>
      <c r="G99" s="3"/>
      <c r="H99" s="3"/>
      <c r="I99" s="3"/>
    </row>
    <row r="100" spans="6:9">
      <c r="F100" s="3"/>
      <c r="G100" s="3"/>
      <c r="H100" s="3"/>
      <c r="I100" s="3"/>
    </row>
  </sheetData>
  <conditionalFormatting sqref="F2:F100">
    <cfRule type="cellIs" dxfId="6" priority="4" operator="equal">
      <formula>"N"</formula>
    </cfRule>
  </conditionalFormatting>
  <conditionalFormatting sqref="G2:G100">
    <cfRule type="cellIs" dxfId="5" priority="3" operator="equal">
      <formula>"Completed"</formula>
    </cfRule>
  </conditionalFormatting>
  <conditionalFormatting sqref="I2:I100">
    <cfRule type="cellIs" dxfId="0" priority="2" operator="equal">
      <formula>"High"</formula>
    </cfRule>
    <cfRule type="cellIs" dxfId="1" priority="1" operator="equal">
      <formula>"Critical"</formula>
    </cfRule>
  </conditionalFormatting>
  <dataValidations count="4">
    <dataValidation type="list" allowBlank="1" showInputMessage="1" showErrorMessage="1" sqref="F1:F100" xr:uid="{4A87FF2F-0055-4D8C-B9FA-4FA522084C84}">
      <formula1>"Y,N"</formula1>
    </dataValidation>
    <dataValidation type="list" allowBlank="1" showInputMessage="1" showErrorMessage="1" sqref="G2:G100" xr:uid="{77EBE4B4-D7A8-4A69-B5ED-6050ACC3211D}">
      <formula1>"Not Started,In Progress,Completed,Pending"</formula1>
    </dataValidation>
    <dataValidation type="list" allowBlank="1" showInputMessage="1" showErrorMessage="1" sqref="H2:H100" xr:uid="{DB8D385B-6693-4124-816D-B5B903C25A2C}">
      <formula1>"Yes,No"</formula1>
    </dataValidation>
    <dataValidation type="list" allowBlank="1" showInputMessage="1" showErrorMessage="1" sqref="I2:I100" xr:uid="{321F7A26-BD04-40D7-B779-CEA9D1657C55}">
      <formula1>"Low,Medium,High,Critical"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8BBE-FE7D-4D6D-9F60-CAD869E5980D}">
  <dimension ref="A1:H5"/>
  <sheetViews>
    <sheetView showGridLines="0" workbookViewId="0">
      <selection activeCell="R1" sqref="R1:R1048576"/>
    </sheetView>
  </sheetViews>
  <sheetFormatPr defaultRowHeight="14.4"/>
  <cols>
    <col min="1" max="1" width="23.33203125" bestFit="1" customWidth="1"/>
    <col min="4" max="4" width="10.44140625" style="5" bestFit="1" customWidth="1"/>
    <col min="5" max="5" width="8.88671875" style="5"/>
    <col min="7" max="7" width="7.77734375" style="5" bestFit="1" customWidth="1"/>
    <col min="8" max="8" width="8.88671875" style="5"/>
  </cols>
  <sheetData>
    <row r="1" spans="1:8" ht="18">
      <c r="A1" s="7" t="s">
        <v>59</v>
      </c>
      <c r="B1" s="8">
        <f>COUNTA(Evidence_Tracker!A2:A100)</f>
        <v>5</v>
      </c>
      <c r="D1" s="9" t="s">
        <v>6</v>
      </c>
      <c r="E1" s="9" t="s">
        <v>62</v>
      </c>
      <c r="G1" s="9" t="s">
        <v>8</v>
      </c>
      <c r="H1" s="9" t="s">
        <v>62</v>
      </c>
    </row>
    <row r="2" spans="1:8" ht="18">
      <c r="A2" s="7" t="s">
        <v>19</v>
      </c>
      <c r="B2" s="8">
        <f>COUNTIF(Evidence_Tracker!G2:G100,"Completed")</f>
        <v>2</v>
      </c>
      <c r="D2" s="5" t="s">
        <v>19</v>
      </c>
      <c r="E2" s="5">
        <f>COUNTIF(Evidence_Tracker!G:G,"Completed")</f>
        <v>2</v>
      </c>
      <c r="G2" s="5" t="s">
        <v>21</v>
      </c>
      <c r="H2" s="5">
        <f>COUNTIF(Evidence_Tracker!I:I,"Low")</f>
        <v>1</v>
      </c>
    </row>
    <row r="3" spans="1:8" ht="18">
      <c r="A3" s="7" t="s">
        <v>60</v>
      </c>
      <c r="B3" s="8">
        <f>COUNTIF(Evidence_Tracker!F2:F100,"N")</f>
        <v>2</v>
      </c>
      <c r="D3" s="5" t="s">
        <v>29</v>
      </c>
      <c r="E3" s="5">
        <f>COUNTIF(Evidence_Tracker!G:G,"Pending")</f>
        <v>1</v>
      </c>
      <c r="G3" s="5" t="s">
        <v>40</v>
      </c>
      <c r="H3" s="5">
        <f>COUNTIF(Evidence_Tracker!I:I,"Medium")</f>
        <v>2</v>
      </c>
    </row>
    <row r="4" spans="1:8" ht="18">
      <c r="A4" s="8" t="s">
        <v>61</v>
      </c>
      <c r="B4" s="8">
        <f>COUNTIF(Evidence_Tracker!H2:H100,"Yes")</f>
        <v>1</v>
      </c>
      <c r="D4" s="6" t="s">
        <v>39</v>
      </c>
      <c r="E4" s="5">
        <f>COUNTIF(Evidence_Tracker!G:G,"In Progress")</f>
        <v>1</v>
      </c>
      <c r="G4" s="5" t="s">
        <v>31</v>
      </c>
      <c r="H4" s="5">
        <f>COUNTIF(Evidence_Tracker!I:I,"High")</f>
        <v>2</v>
      </c>
    </row>
    <row r="5" spans="1:8">
      <c r="D5" s="5" t="s">
        <v>56</v>
      </c>
      <c r="E5" s="5">
        <f>COUNTIF(Evidence_Tracker!G:G,"Not Started")</f>
        <v>1</v>
      </c>
      <c r="G5" s="5" t="s">
        <v>63</v>
      </c>
      <c r="H5" s="5">
        <f>COUNTIF(Evidence_Tracker!I:I,"Critical")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Evidence_Tracker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Polisetti</dc:creator>
  <cp:lastModifiedBy>Dinesh Polisetti</cp:lastModifiedBy>
  <dcterms:created xsi:type="dcterms:W3CDTF">2026-02-13T04:17:42Z</dcterms:created>
  <dcterms:modified xsi:type="dcterms:W3CDTF">2026-02-13T05:43:29Z</dcterms:modified>
</cp:coreProperties>
</file>